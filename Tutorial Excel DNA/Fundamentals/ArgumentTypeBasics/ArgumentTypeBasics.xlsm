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Work\Excel-DNA\MasterClass\Fundamentals\"/>
    </mc:Choice>
  </mc:AlternateContent>
  <xr:revisionPtr revIDLastSave="0" documentId="13_ncr:1_{6D150A2B-A76F-4133-A8A8-C9FE986B800C}" xr6:coauthVersionLast="45" xr6:coauthVersionMax="45" xr10:uidLastSave="{00000000-0000-0000-0000-000000000000}"/>
  <bookViews>
    <workbookView xWindow="-120" yWindow="-120" windowWidth="29040" windowHeight="15840" activeTab="1" xr2:uid="{93369861-D219-4476-8018-76C3012F8184}"/>
  </bookViews>
  <sheets>
    <sheet name="ArgumentTypes" sheetId="1" r:id="rId1"/>
    <sheet name="RangeArguments" sheetId="2" r:id="rId2"/>
  </sheets>
  <functionGroups builtInGroupCount="19"/>
  <definedNames>
    <definedName name="TheBestCell">ArgumentTypes!$B$35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 i="2" l="1" a="1"/>
  <c r="O3" i="2" a="1"/>
  <c r="H29" i="1" a="1"/>
  <c r="H11" i="1" a="1"/>
  <c r="H4" i="1" a="1"/>
  <c r="H9" i="1" a="1"/>
  <c r="H24" i="1" a="1"/>
  <c r="H8" i="1" a="1"/>
  <c r="I19" i="1" a="1"/>
  <c r="I21" i="1" a="1"/>
  <c r="I3" i="1" a="1"/>
  <c r="I24" i="1" a="1"/>
  <c r="I5" i="1" a="1"/>
  <c r="H6" i="1" a="1"/>
  <c r="I10" i="1" a="1"/>
  <c r="I13" i="1" a="1"/>
  <c r="I8" i="1" a="1"/>
  <c r="I6" i="1" a="1"/>
  <c r="H10" i="1" a="1"/>
  <c r="H12" i="1" a="1"/>
  <c r="I4" i="1" a="1"/>
  <c r="I2" i="1" a="1"/>
  <c r="H23" i="1" a="1"/>
  <c r="H7" i="1" a="1"/>
  <c r="H26" i="1" a="1"/>
  <c r="H3" i="1" a="1"/>
  <c r="H21" i="1" a="1"/>
  <c r="H2" i="1" a="1"/>
  <c r="I16" i="1" a="1"/>
  <c r="I17" i="1" a="1"/>
  <c r="I12" i="1" a="1"/>
  <c r="I15" i="1" a="1"/>
  <c r="I14" i="1" a="1"/>
  <c r="H17" i="1" a="1"/>
  <c r="H5" i="1" a="1"/>
  <c r="H19" i="1" a="1"/>
  <c r="H16" i="1" a="1"/>
  <c r="I26" i="1"/>
  <c r="I11" i="1" a="1"/>
  <c r="H15" i="1" a="1"/>
  <c r="H13" i="1" a="1"/>
  <c r="H28" i="1" a="1"/>
  <c r="I23" i="1" a="1"/>
  <c r="I7" i="1" a="1"/>
  <c r="I9" i="1" a="1"/>
  <c r="J5" i="2" a="1"/>
  <c r="J4" i="2" a="1"/>
  <c r="J3" i="2" a="1"/>
  <c r="J6" i="2" a="1"/>
  <c r="O4" i="2" l="1"/>
  <c r="O3" i="2"/>
  <c r="J6" i="2"/>
  <c r="J5" i="2"/>
  <c r="J4" i="2"/>
  <c r="J3" i="2"/>
  <c r="H2" i="1"/>
  <c r="H8" i="1"/>
  <c r="H12" i="1"/>
  <c r="H16" i="1"/>
  <c r="H21" i="1"/>
  <c r="H24" i="1"/>
  <c r="H28" i="1"/>
  <c r="H6" i="1"/>
  <c r="H3" i="1"/>
  <c r="H9" i="1"/>
  <c r="H13" i="1"/>
  <c r="H19" i="1"/>
  <c r="H26" i="1"/>
  <c r="H4" i="1"/>
  <c r="H10" i="1"/>
  <c r="H5" i="1"/>
  <c r="H7" i="1"/>
  <c r="H11" i="1"/>
  <c r="H15" i="1"/>
  <c r="H17" i="1"/>
  <c r="H23" i="1"/>
  <c r="H29" i="1"/>
  <c r="I6" i="1"/>
  <c r="I14" i="1"/>
  <c r="I5" i="1"/>
  <c r="I9" i="1"/>
  <c r="I11" i="1"/>
  <c r="I15" i="1"/>
  <c r="I24" i="1"/>
  <c r="I2" i="1"/>
  <c r="I8" i="1"/>
  <c r="I12" i="1"/>
  <c r="I3" i="1"/>
  <c r="I7" i="1"/>
  <c r="I13" i="1"/>
  <c r="I17" i="1"/>
  <c r="I21" i="1"/>
  <c r="I4" i="1"/>
  <c r="I10" i="1"/>
  <c r="I16" i="1"/>
  <c r="I19" i="1"/>
  <c r="I23" i="1"/>
  <c r="B29" i="1" l="1" a="1"/>
  <c r="B29" i="1" s="1"/>
  <c r="D29" i="1" s="1"/>
  <c r="D28" i="1"/>
  <c r="G26" i="1"/>
  <c r="G24" i="1" a="1"/>
  <c r="G23" i="1" a="1"/>
  <c r="G21" i="1" a="1"/>
  <c r="G19" i="1" a="1"/>
  <c r="F17" i="1" a="1"/>
  <c r="F16" i="1" a="1"/>
  <c r="F15" i="1" a="1"/>
  <c r="F13" i="1" a="1"/>
  <c r="F12" i="1" a="1"/>
  <c r="F11" i="1" a="1"/>
  <c r="F10" i="1" a="1"/>
  <c r="F9" i="1" a="1"/>
  <c r="F8" i="1" a="1"/>
  <c r="F7" i="1" a="1"/>
  <c r="F4" i="1" a="1"/>
  <c r="F29" i="1" a="1"/>
  <c r="G17" i="1" a="1"/>
  <c r="G15" i="1" a="1"/>
  <c r="G13" i="1" a="1"/>
  <c r="G11" i="1" a="1"/>
  <c r="G9" i="1" a="1"/>
  <c r="G7" i="1" a="1"/>
  <c r="G5" i="1" a="1"/>
  <c r="G4" i="1" a="1"/>
  <c r="G2" i="1" a="1"/>
  <c r="F6" i="1" a="1"/>
  <c r="F3" i="1" a="1"/>
  <c r="F26" i="1" a="1"/>
  <c r="F24" i="1" a="1"/>
  <c r="F23" i="1" a="1"/>
  <c r="F21" i="1" a="1"/>
  <c r="F19" i="1" a="1"/>
  <c r="G16" i="1" a="1"/>
  <c r="G14" i="1" a="1"/>
  <c r="G12" i="1" a="1"/>
  <c r="G10" i="1" a="1"/>
  <c r="G8" i="1" a="1"/>
  <c r="G6" i="1" a="1"/>
  <c r="G3" i="1" a="1"/>
  <c r="F28" i="1" a="1"/>
  <c r="F5" i="1" a="1"/>
  <c r="F2" i="1" a="1"/>
  <c r="E29" i="1" a="1"/>
  <c r="E28" i="1" a="1"/>
  <c r="C6" i="2" a="1"/>
  <c r="C7" i="2" a="1"/>
  <c r="C5" i="2" a="1"/>
  <c r="C4" i="2" a="1"/>
  <c r="C3" i="2" a="1"/>
  <c r="C4" i="2" l="1"/>
  <c r="C5" i="2"/>
  <c r="C7" i="2"/>
  <c r="C6" i="2"/>
  <c r="C3" i="2"/>
  <c r="F2" i="1"/>
  <c r="F5" i="1"/>
  <c r="F28" i="1"/>
  <c r="G3" i="1"/>
  <c r="G6" i="1"/>
  <c r="G8" i="1"/>
  <c r="G10" i="1"/>
  <c r="G12" i="1"/>
  <c r="G14" i="1"/>
  <c r="G16" i="1"/>
  <c r="F19" i="1"/>
  <c r="F21" i="1"/>
  <c r="F23" i="1"/>
  <c r="F24" i="1"/>
  <c r="F26" i="1"/>
  <c r="F3" i="1"/>
  <c r="F6" i="1"/>
  <c r="G2" i="1"/>
  <c r="G4" i="1"/>
  <c r="G5" i="1"/>
  <c r="G7" i="1"/>
  <c r="G9" i="1"/>
  <c r="G11" i="1"/>
  <c r="G13" i="1"/>
  <c r="G15" i="1"/>
  <c r="G17" i="1"/>
  <c r="F29" i="1"/>
  <c r="F4" i="1"/>
  <c r="F7" i="1"/>
  <c r="F8" i="1"/>
  <c r="F9" i="1"/>
  <c r="F10" i="1"/>
  <c r="F11" i="1"/>
  <c r="F12" i="1"/>
  <c r="F13" i="1"/>
  <c r="F15" i="1"/>
  <c r="F16" i="1"/>
  <c r="F17" i="1"/>
  <c r="G19" i="1"/>
  <c r="G21" i="1"/>
  <c r="G23" i="1"/>
  <c r="G24" i="1"/>
  <c r="E29" i="1"/>
  <c r="E28" i="1"/>
  <c r="D26" i="1"/>
  <c r="B19" i="1" a="1"/>
  <c r="B19" i="1" s="1"/>
  <c r="B21" i="1" a="1"/>
  <c r="B21" i="1" s="1"/>
  <c r="D24" i="1"/>
  <c r="B24" i="1" a="1"/>
  <c r="B24" i="1" s="1"/>
  <c r="B23" i="1" a="1"/>
  <c r="B23" i="1" s="1"/>
  <c r="D23" i="1" s="1"/>
  <c r="D3" i="1"/>
  <c r="B17" i="1"/>
  <c r="D17" i="1" s="1"/>
  <c r="B15" i="1" a="1"/>
  <c r="B15" i="1" s="1"/>
  <c r="D15" i="1" s="1"/>
  <c r="D4" i="1"/>
  <c r="D5" i="1"/>
  <c r="D6" i="1"/>
  <c r="D7" i="1"/>
  <c r="D8" i="1"/>
  <c r="D9" i="1"/>
  <c r="D10" i="1"/>
  <c r="D11" i="1"/>
  <c r="D2" i="1"/>
  <c r="B18" i="1" a="1"/>
  <c r="B18" i="1" s="1"/>
  <c r="B26" i="1"/>
  <c r="D19" i="1" a="1"/>
  <c r="B16" i="1"/>
  <c r="D16" i="1" s="1"/>
  <c r="B14" i="1"/>
  <c r="B13" i="1"/>
  <c r="D13" i="1" s="1"/>
  <c r="B12" i="1"/>
  <c r="D12" i="1" s="1"/>
  <c r="E15" i="1" a="1"/>
  <c r="E17" i="1" a="1"/>
  <c r="E11" i="1" a="1"/>
  <c r="E13" i="1" a="1"/>
  <c r="E3" i="1" a="1"/>
  <c r="E6" i="1" a="1"/>
  <c r="E10" i="1" a="1"/>
  <c r="E12" i="1" a="1"/>
  <c r="E4" i="1" a="1"/>
  <c r="E2" i="1" a="1"/>
  <c r="E26" i="1" a="1"/>
  <c r="E8" i="1" a="1"/>
  <c r="E24" i="1" a="1"/>
  <c r="E16" i="1" a="1"/>
  <c r="E7" i="1" a="1"/>
  <c r="E9" i="1" a="1"/>
  <c r="E23" i="1" a="1"/>
  <c r="E5" i="1" a="1"/>
  <c r="F14" i="1" a="1"/>
  <c r="F18" i="1" a="1"/>
  <c r="H14" i="1" a="1"/>
  <c r="H18" i="1" a="1"/>
  <c r="H18" i="1" l="1"/>
  <c r="H14" i="1"/>
  <c r="F18" i="1"/>
  <c r="F14" i="1"/>
  <c r="D21" i="1"/>
  <c r="D18" i="1"/>
  <c r="D14" i="1"/>
  <c r="E26" i="1"/>
  <c r="C20" i="1"/>
  <c r="B20" i="1"/>
  <c r="C19" i="1"/>
  <c r="D19" i="1"/>
  <c r="E23" i="1"/>
  <c r="E24" i="1"/>
  <c r="E2" i="1"/>
  <c r="E10" i="1"/>
  <c r="E16" i="1"/>
  <c r="E12" i="1"/>
  <c r="E8" i="1"/>
  <c r="E6" i="1"/>
  <c r="E4" i="1"/>
  <c r="E17" i="1"/>
  <c r="E15" i="1"/>
  <c r="E13" i="1"/>
  <c r="E11" i="1"/>
  <c r="E9" i="1"/>
  <c r="E7" i="1"/>
  <c r="E5" i="1"/>
  <c r="E3" i="1"/>
  <c r="E21" i="1" a="1"/>
  <c r="E19" i="1" a="1"/>
  <c r="E22" i="1" a="1"/>
  <c r="E18" i="1" a="1"/>
  <c r="E14" i="1" a="1"/>
  <c r="E21" i="1" l="1"/>
  <c r="E14" i="1"/>
  <c r="E18" i="1"/>
  <c r="E19" i="1"/>
  <c r="E22" i="1"/>
  <c r="E20" i="1" a="1"/>
  <c r="E20"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7"/>
        </ext>
      </extLst>
    </bk>
  </futureMetadata>
  <cellMetadata count="1">
    <bk>
      <rc t="1" v="0"/>
    </bk>
  </cellMetadata>
  <valueMetadata count="2">
    <bk>
      <rc t="2" v="0"/>
    </bk>
    <bk>
      <rc t="2" v="1"/>
    </bk>
  </valueMetadata>
</metadata>
</file>

<file path=xl/sharedStrings.xml><?xml version="1.0" encoding="utf-8"?>
<sst xmlns="http://schemas.openxmlformats.org/spreadsheetml/2006/main" count="32" uniqueCount="30">
  <si>
    <t>Number</t>
  </si>
  <si>
    <t>Boolean</t>
  </si>
  <si>
    <t>String</t>
  </si>
  <si>
    <t/>
  </si>
  <si>
    <t>Error</t>
  </si>
  <si>
    <t>Empty Cell</t>
  </si>
  <si>
    <t>Hello, World!</t>
  </si>
  <si>
    <t xml:space="preserve">    Empty (0-length)</t>
  </si>
  <si>
    <t xml:space="preserve">    Formatted as Date</t>
  </si>
  <si>
    <t xml:space="preserve">    Formatted as Currency</t>
  </si>
  <si>
    <t>Excel TYPE</t>
  </si>
  <si>
    <t>Ctrl+Shift+Enter 2D Array</t>
  </si>
  <si>
    <t>Dynamic 2D Array</t>
  </si>
  <si>
    <t>Single Row Array</t>
  </si>
  <si>
    <t>Single Column Array</t>
  </si>
  <si>
    <t>Array Literal in Single Cell</t>
  </si>
  <si>
    <t>Value Type</t>
  </si>
  <si>
    <t>Example Value</t>
  </si>
  <si>
    <t>NOTE: =ERROR.TYPE(????)</t>
  </si>
  <si>
    <t>Linked Data</t>
  </si>
  <si>
    <t>vbaArgumentInfo - Reference Argument</t>
  </si>
  <si>
    <t>vbaArgumentInfo - Literal Argument</t>
  </si>
  <si>
    <t>TYPE Name</t>
  </si>
  <si>
    <t>dnaArgumentInfo - Literal Argument</t>
  </si>
  <si>
    <t>dnaArgumentInfo - Reference Argument</t>
  </si>
  <si>
    <t>2D vs 1D arrays</t>
  </si>
  <si>
    <t>SumEvens</t>
  </si>
  <si>
    <t>Simple Range</t>
  </si>
  <si>
    <t>Union Range</t>
  </si>
  <si>
    <t>&lt;- Top row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</si>
</sst>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R&quot;#,##0.00;[Red]\-&quot;R&quot;#,##0.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9">
    <xf numFmtId="0" fontId="0" fillId="0" borderId="0" xfId="0"/>
    <xf numFmtId="0" fontId="0" fillId="0" borderId="0" xfId="0" quotePrefix="1"/>
    <xf numFmtId="15" fontId="0" fillId="0" borderId="0" xfId="0" applyNumberFormat="1"/>
    <xf numFmtId="8" fontId="0" fillId="0" borderId="0" xfId="0" applyNumberFormat="1"/>
    <xf numFmtId="11" fontId="0" fillId="0" borderId="0" xfId="0" applyNumberFormat="1"/>
    <xf numFmtId="0" fontId="1" fillId="0" borderId="0" xfId="0" applyFont="1"/>
    <xf numFmtId="1"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0" xfId="0" applyBorder="1"/>
    <xf numFmtId="0" fontId="0" fillId="0" borderId="8" xfId="0" applyBorder="1"/>
    <xf numFmtId="0" fontId="0" fillId="0" borderId="9" xfId="0" applyBorder="1"/>
    <xf numFmtId="0" fontId="0" fillId="0" borderId="10" xfId="0" applyBorder="1"/>
    <xf numFmtId="0" fontId="0" fillId="0" borderId="1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microsoft.com/office/2006/relationships/vbaProject" Target="vbaProject.bin"/></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8">
  <rv s="0">
    <v>0</v>
    <v>8</v>
    <v>1</v>
    <v>1</v>
  </rv>
  <rv s="1">
    <v>http://en.wikipedia.org/wiki/Public_domain</v>
    <v>Public domain</v>
  </rv>
  <rv s="1">
    <v>http://en.wikipedia.org/wiki/Microsoft</v>
    <v>Wikipedia</v>
  </rv>
  <rv s="2">
    <v>1</v>
    <v>2</v>
  </rv>
  <rv s="3">
    <v>6</v>
    <v>https://www.bing.com/th?id=AMMS_c6939a08cba290c186ef1b935254e91d&amp;qlt=95</v>
    <v>3</v>
    <v>0</v>
    <v>https://www.bing.com/images/search?form=xlimg&amp;q=microsoft</v>
    <v>Image of MICROSOFT CORPORATION</v>
  </rv>
  <rv s="1">
    <v>https://www.bing.com/financeapi/forcetrigger?t=a1xzim&amp;q=XNAS%3aMSFT&amp;form=skydnc</v>
    <v>Learn more on Bing</v>
  </rv>
  <rv s="4">
    <v>en-ZA</v>
    <v>a1xzim</v>
    <v>268435456</v>
    <v>1</v>
    <v>Powered by Refinitiv</v>
    <v>0</v>
    <v>MICROSOFT CORPORATION (XNAS:MSFT)</v>
    <v>3</v>
    <v>4</v>
    <v>Finance</v>
    <v>5</v>
    <v>232.86</v>
    <v>132.52000000000001</v>
    <v>0.88119999999999998</v>
    <v>-0.5393</v>
    <v>-2.415E-3</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163000</v>
    <v>Nasdaq Stock Market</v>
    <v>XNAS</v>
    <v>XNAS</v>
    <v>1 Microsoft Way, REDMOND, WA, 98052-6399 US</v>
    <v>223.36</v>
    <v>4</v>
    <v>Software &amp; IT Services</v>
    <v>Stock</v>
    <v>44141.739213055465</v>
    <v>5</v>
    <v>218.03</v>
    <v>1688183000000</v>
    <v>MICROSOFT CORPORATION</v>
    <v>MICROSOFT CORPORATION</v>
    <v>222.13</v>
    <v>36.023499999999999</v>
    <v>223.29</v>
    <v>222.75069999999999</v>
    <v>7560496000</v>
    <v>MSFT</v>
    <v>MICROSOFT CORPORATION (XNAS:MSFT)</v>
    <v>12698463</v>
    <v>29650479</v>
    <v>1993</v>
  </rv>
  <rv s="5">
    <v>6</v>
  </rv>
</rvData>
</file>

<file path=xl/richData/rdrichvaluestructure.xml><?xml version="1.0" encoding="utf-8"?>
<rvStructures xmlns="http://schemas.microsoft.com/office/spreadsheetml/2017/richdata" count="6">
  <s t="_error">
    <k n="colOffset" t="i"/>
    <k n="errorType" t="i"/>
    <k n="rwOffset" t="i"/>
    <k n="subType" t="i"/>
  </s>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3">
      <v t="s">%EntityServiceId</v>
      <v t="s">_Format</v>
      <v t="s">%IsRefreshable</v>
      <v t="s">%EntityCulture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spbArrays>
  <spbData count="7">
    <spb s="0">
      <v>0</v>
    </spb>
    <spb s="1">
      <v>0</v>
      <v>0</v>
    </spb>
    <spb s="2">
      <v>0</v>
      <v>0</v>
      <v>0</v>
    </spb>
    <spb s="3">
      <v>1</v>
      <v>2</v>
      <v>2</v>
      <v>2</v>
    </spb>
    <spb s="4">
      <v>1</v>
      <v>2</v>
      <v>2</v>
      <v>1</v>
      <v>3</v>
      <v>1</v>
      <v>4</v>
      <v>1</v>
      <v>1</v>
      <v>5</v>
      <v>5</v>
      <v>6</v>
      <v>7</v>
      <v>1</v>
      <v>1</v>
      <v>1</v>
      <v>5</v>
      <v>8</v>
      <v>9</v>
      <v>10</v>
      <v>11</v>
      <v>5</v>
    </spb>
    <spb s="5">
      <v>Real-Time Nasdaq Last Sale</v>
      <v>from previous close</v>
      <v>from previous close</v>
      <v>Source: Nasdaq Last Sale</v>
      <v>GMT</v>
    </spb>
    <spb s="6">
      <v>Powered by Refinitiv</v>
    </spb>
  </spbData>
</supportingPropertyBags>
</file>

<file path=xl/richData/rdsupportingpropertybagstructure.xml><?xml version="1.0" encoding="utf-8"?>
<spbStructures xmlns="http://schemas.microsoft.com/office/spreadsheetml/2017/richdata2" count="7">
  <s>
    <k n="^Order" t="spba"/>
  </s>
  <s>
    <k n="ShowInDotNotation" t="b"/>
    <k n="ShowInAutoComplete" t="b"/>
  </s>
  <s>
    <k n="ShowInCardView" t="b"/>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Price" t="s"/>
    <k n="Change" t="s"/>
    <k n="Change (%)" t="s"/>
    <k n="ExchangeID" t="s"/>
    <k n="Last trade time"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409]* #,##0.00_);_([$$-409]* \(#,##0.00\);_([$$-409]* &quot;-&quot;??_);_(@_)"/>
    </x:dxf>
    <x:dxf>
      <x:numFmt numFmtId="4" formatCode="#,##0.00"/>
    </x:dxf>
    <x:dxf>
      <x:numFmt numFmtId="3" formatCode="#,##0"/>
    </x:dxf>
    <x:dxf>
      <x:numFmt numFmtId="14" formatCode="0.00%"/>
    </x:dxf>
    <x:dxf>
      <x:numFmt numFmtId="164" formatCode="_([$$-409]* #,##0_);_([$$-409]* \(#,##0\);_([$$-409]* &quot;-&quot;_);_(@_)"/>
    </x:dxf>
    <x:dxf>
      <x:numFmt numFmtId="27" formatCode="yyyy/mm/dd\ hh:mm"/>
    </x:dxf>
    <x:dxf>
      <x:numFmt numFmtId="1" formatCode="0"/>
    </x:dxf>
    <x:dxf>
      <x:numFmt numFmtId="2" formatCode="0.00"/>
    </x:dxf>
  </dxfs>
  <richProperties>
    <rPr n="IsTitleField" t="b"/>
    <rPr n="IsHeroField" t="b"/>
    <rPr n="ShouldShowInCell" t="b"/>
  </richProperties>
  <richStyles>
    <rSty dxfid="0"/>
    <rSty dxfid="1"/>
    <rSty>
      <rpv i="0">1</rpv>
    </rSty>
    <rSty>
      <rpv i="1">1</rpv>
    </rSty>
    <rSty dxfid="2"/>
    <rSty dxfid="3"/>
    <rSty dxfid="4"/>
    <rSty dxfid="5"/>
    <rSty>
      <rpv i="2">1</rpv>
    </rSty>
    <rSty dxfid="6"/>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47691-24E7-46F7-A890-A1C0480BB960}">
  <sheetPr codeName="Sheet1"/>
  <dimension ref="A1:I29"/>
  <sheetViews>
    <sheetView topLeftCell="B1" workbookViewId="0">
      <selection activeCell="B29" sqref="B29"/>
    </sheetView>
  </sheetViews>
  <sheetFormatPr defaultRowHeight="15" x14ac:dyDescent="0.25"/>
  <cols>
    <col min="1" max="1" width="25.5703125" customWidth="1"/>
    <col min="2" max="2" width="18.140625" customWidth="1"/>
    <col min="3" max="3" width="20.85546875" customWidth="1"/>
    <col min="4" max="4" width="10.140625" bestFit="1" customWidth="1"/>
    <col min="5" max="5" width="14.28515625" bestFit="1" customWidth="1"/>
    <col min="6" max="6" width="47.7109375" bestFit="1" customWidth="1"/>
    <col min="7" max="7" width="34.42578125" bestFit="1" customWidth="1"/>
    <col min="8" max="8" width="47.7109375" bestFit="1" customWidth="1"/>
    <col min="9" max="9" width="34" bestFit="1" customWidth="1"/>
    <col min="10" max="10" width="47.7109375" bestFit="1" customWidth="1"/>
  </cols>
  <sheetData>
    <row r="1" spans="1:9" x14ac:dyDescent="0.25">
      <c r="A1" s="5" t="s">
        <v>16</v>
      </c>
      <c r="B1" s="5" t="s">
        <v>17</v>
      </c>
      <c r="D1" s="5" t="s">
        <v>10</v>
      </c>
      <c r="E1" s="5" t="s">
        <v>22</v>
      </c>
      <c r="F1" s="5" t="s">
        <v>20</v>
      </c>
      <c r="G1" s="5" t="s">
        <v>21</v>
      </c>
      <c r="H1" s="5" t="s">
        <v>24</v>
      </c>
      <c r="I1" s="5" t="s">
        <v>23</v>
      </c>
    </row>
    <row r="2" spans="1:9" x14ac:dyDescent="0.25">
      <c r="A2" t="s">
        <v>5</v>
      </c>
      <c r="D2">
        <f>TYPE(B2)</f>
        <v>1</v>
      </c>
      <c r="E2" t="str" cm="1">
        <f t="array" ref="E2">ExcelTypeName(D2)</f>
        <v>Number</v>
      </c>
      <c r="F2" t="str" cm="1">
        <f t="array" ref="F2">vbaArgumentInfo(B2)</f>
        <v xml:space="preserve">Range($B$2): vbEmpty: </v>
      </c>
      <c r="G2" t="str" cm="1">
        <f t="array" ref="G2">vbaArgumentInfo()</f>
        <v>&lt;Missing&gt;</v>
      </c>
      <c r="H2" t="str" cm="1">
        <f t="array" ref="H2">_xll.dnaArgumentInfo(B2)</f>
        <v>&lt;&lt;Empty&gt;&gt;</v>
      </c>
      <c r="I2" t="str" cm="1">
        <f t="array" ref="I2">_xll.dnaArgumentInfo()</f>
        <v>&lt;&lt;Missing&gt;&gt;</v>
      </c>
    </row>
    <row r="3" spans="1:9" x14ac:dyDescent="0.25">
      <c r="A3" t="s">
        <v>0</v>
      </c>
      <c r="B3">
        <v>1.234</v>
      </c>
      <c r="D3">
        <f t="shared" ref="D3:D18" si="0">TYPE(B3)</f>
        <v>1</v>
      </c>
      <c r="E3" t="str" cm="1">
        <f t="array" ref="E3">ExcelTypeName(D3)</f>
        <v>Number</v>
      </c>
      <c r="F3" t="str" cm="1">
        <f t="array" ref="F3">vbaArgumentInfo(B3)</f>
        <v>Range($B$3): vbDouble: 1.234</v>
      </c>
      <c r="G3" t="str" cm="1">
        <f t="array" ref="G3">vbaArgumentInfo(1.234)</f>
        <v>vbDouble: 1.234</v>
      </c>
      <c r="H3" t="str" cm="1">
        <f t="array" ref="H3">_xll.dnaArgumentInfo(B3)</f>
        <v>Double: 1.234</v>
      </c>
      <c r="I3" t="str" cm="1">
        <f t="array" ref="I3">_xll.dnaArgumentInfo(1.234)</f>
        <v>Double: 1.234</v>
      </c>
    </row>
    <row r="4" spans="1:9" x14ac:dyDescent="0.25">
      <c r="B4">
        <v>42</v>
      </c>
      <c r="D4">
        <f t="shared" si="0"/>
        <v>1</v>
      </c>
      <c r="E4" t="str" cm="1">
        <f t="array" ref="E4">ExcelTypeName(D4)</f>
        <v>Number</v>
      </c>
      <c r="F4" t="str" cm="1">
        <f t="array" ref="F4">vbaArgumentInfo(B4)</f>
        <v>Range($B$4): vbDouble: 42</v>
      </c>
      <c r="G4" t="str" cm="1">
        <f t="array" ref="G4">vbaArgumentInfo(42)</f>
        <v>vbDouble: 42</v>
      </c>
      <c r="H4" t="str" cm="1">
        <f t="array" ref="H4">_xll.dnaArgumentInfo(B4)</f>
        <v>Double: 42</v>
      </c>
      <c r="I4" t="str" cm="1">
        <f t="array" ref="I4">_xll.dnaArgumentInfo(42)</f>
        <v>Double: 42</v>
      </c>
    </row>
    <row r="5" spans="1:9" x14ac:dyDescent="0.25">
      <c r="B5" s="4">
        <v>9.8700000000000006E+201</v>
      </c>
      <c r="D5">
        <f t="shared" si="0"/>
        <v>1</v>
      </c>
      <c r="E5" t="str" cm="1">
        <f t="array" ref="E5">ExcelTypeName(D5)</f>
        <v>Number</v>
      </c>
      <c r="F5" t="str" cm="1">
        <f t="array" ref="F5">vbaArgumentInfo(B5)</f>
        <v>Range($B$5): vbDouble: 9.87E+201</v>
      </c>
      <c r="G5" t="str" cm="1">
        <f t="array" ref="G5">vbaArgumentInfo(9.87E+201)</f>
        <v>vbDouble: 9.87E+201</v>
      </c>
      <c r="H5" t="str" cm="1">
        <f t="array" ref="H5">_xll.dnaArgumentInfo(B5)</f>
        <v>Double: 9.87E+201</v>
      </c>
      <c r="I5" t="str" cm="1">
        <f t="array" ref="I5">_xll.dnaArgumentInfo(9.87E+201)</f>
        <v>Double: 9.87E+201</v>
      </c>
    </row>
    <row r="6" spans="1:9" x14ac:dyDescent="0.25">
      <c r="A6" t="s">
        <v>8</v>
      </c>
      <c r="B6" s="2">
        <v>44141</v>
      </c>
      <c r="D6">
        <f t="shared" si="0"/>
        <v>1</v>
      </c>
      <c r="E6" t="str" cm="1">
        <f t="array" ref="E6">ExcelTypeName(D6)</f>
        <v>Number</v>
      </c>
      <c r="F6" t="str" cm="1">
        <f t="array" ref="F6">vbaArgumentInfo(B6)</f>
        <v>Range($B$6): vbDate: 2020/11/06 (vbDouble: 44141)</v>
      </c>
      <c r="G6" t="str" cm="1">
        <f t="array" ref="G6">vbaArgumentInfo(44141)</f>
        <v>vbDouble: 44141</v>
      </c>
      <c r="H6" t="str" cm="1">
        <f t="array" ref="H6">_xll.dnaArgumentInfo(B6)</f>
        <v>Double: 44141</v>
      </c>
      <c r="I6" t="str" cm="1">
        <f t="array" ref="I6">_xll.dnaArgumentInfo(44141)</f>
        <v>Double: 44141</v>
      </c>
    </row>
    <row r="7" spans="1:9" x14ac:dyDescent="0.25">
      <c r="A7" t="s">
        <v>9</v>
      </c>
      <c r="B7" s="3">
        <v>99.99</v>
      </c>
      <c r="D7">
        <f t="shared" si="0"/>
        <v>1</v>
      </c>
      <c r="E7" t="str" cm="1">
        <f t="array" ref="E7">ExcelTypeName(D7)</f>
        <v>Number</v>
      </c>
      <c r="F7" t="str" cm="1">
        <f t="array" ref="F7">vbaArgumentInfo(B7)</f>
        <v>Range($B$7): vbCurrency: 99.99 (vbDouble: 99.99)</v>
      </c>
      <c r="G7" t="str" cm="1">
        <f t="array" ref="G7">vbaArgumentInfo(99.99)</f>
        <v>vbDouble: 99.99</v>
      </c>
      <c r="H7" t="str" cm="1">
        <f t="array" ref="H7">_xll.dnaArgumentInfo(B7)</f>
        <v>Double: 99.99</v>
      </c>
      <c r="I7" t="str" cm="1">
        <f t="array" ref="I7">_xll.dnaArgumentInfo(99.99)</f>
        <v>Double: 99.99</v>
      </c>
    </row>
    <row r="8" spans="1:9" x14ac:dyDescent="0.25">
      <c r="A8" t="s">
        <v>2</v>
      </c>
      <c r="B8" t="s">
        <v>6</v>
      </c>
      <c r="D8">
        <f t="shared" si="0"/>
        <v>2</v>
      </c>
      <c r="E8" t="str" cm="1">
        <f t="array" ref="E8">ExcelTypeName(D8)</f>
        <v>Text</v>
      </c>
      <c r="F8" t="str" cm="1">
        <f t="array" ref="F8">vbaArgumentInfo(B8)</f>
        <v>Range($B$8): vbString: Hello, World!</v>
      </c>
      <c r="G8" t="str" cm="1">
        <f t="array" ref="G8">vbaArgumentInfo("Hello, World!")</f>
        <v>vbString: Hello, World!</v>
      </c>
      <c r="H8" t="str" cm="1">
        <f t="array" ref="H8">_xll.dnaArgumentInfo(B8)</f>
        <v>String: Hello, World!</v>
      </c>
      <c r="I8" t="str" cm="1">
        <f t="array" ref="I8">_xll.dnaArgumentInfo("Hello, World!")</f>
        <v>String: Hello, World!</v>
      </c>
    </row>
    <row r="9" spans="1:9" x14ac:dyDescent="0.25">
      <c r="A9" t="s">
        <v>7</v>
      </c>
      <c r="B9" s="1" t="s">
        <v>3</v>
      </c>
      <c r="D9">
        <f t="shared" si="0"/>
        <v>2</v>
      </c>
      <c r="E9" t="str" cm="1">
        <f t="array" ref="E9">ExcelTypeName(D9)</f>
        <v>Text</v>
      </c>
      <c r="F9" t="str" cm="1">
        <f t="array" ref="F9">vbaArgumentInfo(B9)</f>
        <v xml:space="preserve">Range($B$9): vbString: </v>
      </c>
      <c r="G9" t="str" cm="1">
        <f t="array" ref="G9">vbaArgumentInfo("")</f>
        <v xml:space="preserve">vbString: </v>
      </c>
      <c r="H9" t="str" cm="1">
        <f t="array" ref="H9">_xll.dnaArgumentInfo(B9)</f>
        <v xml:space="preserve">String: </v>
      </c>
      <c r="I9" t="str" cm="1">
        <f t="array" ref="I9">_xll.dnaArgumentInfo("")</f>
        <v xml:space="preserve">String: </v>
      </c>
    </row>
    <row r="10" spans="1:9" x14ac:dyDescent="0.25">
      <c r="A10" t="s">
        <v>1</v>
      </c>
      <c r="B10" t="b">
        <v>1</v>
      </c>
      <c r="D10">
        <f t="shared" si="0"/>
        <v>4</v>
      </c>
      <c r="E10" t="str" cm="1">
        <f t="array" ref="E10">ExcelTypeName(D10)</f>
        <v>Logical Value</v>
      </c>
      <c r="F10" t="str" cm="1">
        <f t="array" ref="F10">vbaArgumentInfo(B10)</f>
        <v>Range($B$10): vbBoolean: True</v>
      </c>
      <c r="G10" t="str" cm="1">
        <f t="array" ref="G10">vbaArgumentInfo(TRUE)</f>
        <v>vbBoolean: True</v>
      </c>
      <c r="H10" t="str" cm="1">
        <f t="array" ref="H10">_xll.dnaArgumentInfo(B10)</f>
        <v>Boolean: True</v>
      </c>
      <c r="I10" t="str" cm="1">
        <f t="array" ref="I10">_xll.dnaArgumentInfo(TRUE)</f>
        <v>Boolean: True</v>
      </c>
    </row>
    <row r="11" spans="1:9" x14ac:dyDescent="0.25">
      <c r="B11" t="b">
        <v>0</v>
      </c>
      <c r="D11">
        <f t="shared" si="0"/>
        <v>4</v>
      </c>
      <c r="E11" t="str" cm="1">
        <f t="array" ref="E11">ExcelTypeName(D11)</f>
        <v>Logical Value</v>
      </c>
      <c r="F11" t="str" cm="1">
        <f t="array" ref="F11">vbaArgumentInfo(B11)</f>
        <v>Range($B$11): vbBoolean: False</v>
      </c>
      <c r="G11" t="str" cm="1">
        <f t="array" ref="G11">vbaArgumentInfo(FALSE)</f>
        <v>vbBoolean: False</v>
      </c>
      <c r="H11" t="str" cm="1">
        <f t="array" ref="H11">_xll.dnaArgumentInfo(B11)</f>
        <v>Boolean: False</v>
      </c>
      <c r="I11" t="str" cm="1">
        <f t="array" ref="I11">_xll.dnaArgumentInfo(FALSE)</f>
        <v>Boolean: False</v>
      </c>
    </row>
    <row r="12" spans="1:9" x14ac:dyDescent="0.25">
      <c r="A12" t="s">
        <v>4</v>
      </c>
      <c r="B12" t="e">
        <f>1/0</f>
        <v>#DIV/0!</v>
      </c>
      <c r="D12">
        <f t="shared" si="0"/>
        <v>16</v>
      </c>
      <c r="E12" t="str" cm="1">
        <f t="array" ref="E12">ExcelTypeName(D12)</f>
        <v>Error Value</v>
      </c>
      <c r="F12" t="str" cm="1">
        <f t="array" ref="F12">vbaArgumentInfo(B12)</f>
        <v>Range($B$12): vbError: Error 2007</v>
      </c>
      <c r="G12" t="str" cm="1">
        <f t="array" ref="G12">vbaArgumentInfo(#DIV/0!)</f>
        <v>vbError: Error 2007</v>
      </c>
      <c r="H12" t="str" cm="1">
        <f t="array" ref="H12">_xll.dnaArgumentInfo(B12)</f>
        <v>ExcelError: ExcelErrorDiv0</v>
      </c>
      <c r="I12" t="str" cm="1">
        <f t="array" ref="I12">_xll.dnaArgumentInfo(#DIV/0!)</f>
        <v>ExcelError: ExcelErrorDiv0</v>
      </c>
    </row>
    <row r="13" spans="1:9" x14ac:dyDescent="0.25">
      <c r="B13" t="e">
        <f>SUM("A")</f>
        <v>#VALUE!</v>
      </c>
      <c r="D13">
        <f t="shared" si="0"/>
        <v>16</v>
      </c>
      <c r="E13" t="str" cm="1">
        <f t="array" ref="E13">ExcelTypeName(D13)</f>
        <v>Error Value</v>
      </c>
      <c r="F13" t="str" cm="1">
        <f t="array" ref="F13">vbaArgumentInfo(B13)</f>
        <v>Range($B$13): vbError: Error 2015</v>
      </c>
      <c r="G13" t="str" cm="1">
        <f t="array" ref="G13">vbaArgumentInfo(#VALUE!)</f>
        <v>vbError: Error 2015</v>
      </c>
      <c r="H13" t="str" cm="1">
        <f t="array" ref="H13">_xll.dnaArgumentInfo(B13)</f>
        <v>ExcelError: ExcelErrorValue</v>
      </c>
      <c r="I13" t="str" cm="1">
        <f t="array" ref="I13">_xll.dnaArgumentInfo(#VALUE!)</f>
        <v>ExcelError: ExcelErrorValue</v>
      </c>
    </row>
    <row r="14" spans="1:9" x14ac:dyDescent="0.25">
      <c r="B14" t="e">
        <f ca="1">OFFSET($A$2, -1, -1)</f>
        <v>#REF!</v>
      </c>
      <c r="D14">
        <f t="shared" ca="1" si="0"/>
        <v>16</v>
      </c>
      <c r="E14" t="str" cm="1">
        <f t="array" aca="1" ref="E14" ca="1">ExcelTypeName(D14)</f>
        <v>Error Value</v>
      </c>
      <c r="F14" t="str" cm="1">
        <f t="array" aca="1" ref="F14" ca="1">vbaArgumentInfo(B14)</f>
        <v>Range($B$14): vbError: Error 2023</v>
      </c>
      <c r="G14" t="str" cm="1">
        <f t="array" ref="G14">vbaArgumentInfo(#REF!)</f>
        <v>vbError: Error 2023</v>
      </c>
      <c r="H14" t="str" cm="1">
        <f t="array" aca="1" ref="H14" ca="1">_xll.dnaArgumentInfo(B14)</f>
        <v>ExcelError: ExcelErrorRef</v>
      </c>
      <c r="I14" t="str" cm="1">
        <f t="array" ref="I14">_xll.dnaArgumentInfo(#REF!)</f>
        <v>ExcelError: ExcelErrorRef</v>
      </c>
    </row>
    <row r="15" spans="1:9" x14ac:dyDescent="0.25">
      <c r="B15" t="e" cm="1">
        <f t="array" ref="B15">MadeUpName</f>
        <v>#NAME?</v>
      </c>
      <c r="D15">
        <f t="shared" si="0"/>
        <v>16</v>
      </c>
      <c r="E15" t="str" cm="1">
        <f t="array" ref="E15">ExcelTypeName(D15)</f>
        <v>Error Value</v>
      </c>
      <c r="F15" t="str" cm="1">
        <f t="array" ref="F15">vbaArgumentInfo(B15)</f>
        <v>Range($B$15): vbError: Error 2029</v>
      </c>
      <c r="G15" t="str" cm="1">
        <f t="array" ref="G15">vbaArgumentInfo(#NAME?)</f>
        <v>vbError: Error 2029</v>
      </c>
      <c r="H15" t="str" cm="1">
        <f t="array" ref="H15">_xll.dnaArgumentInfo(B15)</f>
        <v>ExcelError: ExcelErrorName</v>
      </c>
      <c r="I15" t="str" cm="1">
        <f t="array" ref="I15">_xll.dnaArgumentInfo(#NAME?)</f>
        <v>ExcelError: ExcelErrorName</v>
      </c>
    </row>
    <row r="16" spans="1:9" x14ac:dyDescent="0.25">
      <c r="B16" t="e">
        <f>1E+200 ^ 2</f>
        <v>#NUM!</v>
      </c>
      <c r="D16">
        <f t="shared" si="0"/>
        <v>16</v>
      </c>
      <c r="E16" t="str" cm="1">
        <f t="array" ref="E16">ExcelTypeName(D16)</f>
        <v>Error Value</v>
      </c>
      <c r="F16" t="str" cm="1">
        <f t="array" ref="F16">vbaArgumentInfo(B16)</f>
        <v>Range($B$16): vbError: Error 2036</v>
      </c>
      <c r="G16" t="str" cm="1">
        <f t="array" ref="G16">vbaArgumentInfo(#NUM!)</f>
        <v>vbError: Error 2036</v>
      </c>
      <c r="H16" t="str" cm="1">
        <f t="array" ref="H16">_xll.dnaArgumentInfo(B16)</f>
        <v>ExcelError: ExcelErrorNum</v>
      </c>
      <c r="I16" t="str" cm="1">
        <f t="array" ref="I16">_xll.dnaArgumentInfo(#NUM!)</f>
        <v>ExcelError: ExcelErrorNum</v>
      </c>
    </row>
    <row r="17" spans="1:9" x14ac:dyDescent="0.25">
      <c r="B17" t="e">
        <f>VLOOKUP("A", {"B"}, 0,FALSE )</f>
        <v>#N/A</v>
      </c>
      <c r="D17">
        <f t="shared" si="0"/>
        <v>16</v>
      </c>
      <c r="E17" t="str" cm="1">
        <f t="array" ref="E17">ExcelTypeName(D17)</f>
        <v>Error Value</v>
      </c>
      <c r="F17" t="str" cm="1">
        <f t="array" ref="F17">vbaArgumentInfo(B17)</f>
        <v>Range($B$17): vbError: Error 2042</v>
      </c>
      <c r="G17" t="str" cm="1">
        <f t="array" ref="G17">vbaArgumentInfo(#N/A)</f>
        <v>vbError: Error 2042</v>
      </c>
      <c r="H17" t="str" cm="1">
        <f t="array" ref="H17">_xll.dnaArgumentInfo(B17)</f>
        <v>ExcelError: ExcelErrorNA</v>
      </c>
      <c r="I17" t="str" cm="1">
        <f t="array" ref="I17">_xll.dnaArgumentInfo(#N/A)</f>
        <v>ExcelError: ExcelErrorNA</v>
      </c>
    </row>
    <row r="18" spans="1:9" x14ac:dyDescent="0.25">
      <c r="B18" t="e" cm="1" vm="1">
        <f t="array" aca="1" ref="B18" ca="1">{1;2}</f>
        <v>#VALUE!</v>
      </c>
      <c r="D18">
        <f t="shared" ca="1" si="0"/>
        <v>16</v>
      </c>
      <c r="E18" t="str" cm="1">
        <f t="array" aca="1" ref="E18" ca="1">ExcelTypeName(D18)</f>
        <v>Error Value</v>
      </c>
      <c r="F18" t="str" cm="1">
        <f t="array" aca="1" ref="F18" ca="1">vbaArgumentInfo(B18)</f>
        <v>Range($B$18): vbError: Error 2045</v>
      </c>
      <c r="G18" s="1" t="s">
        <v>18</v>
      </c>
      <c r="H18" t="str" cm="1">
        <f t="array" aca="1" ref="H18" ca="1">_xll.dnaArgumentInfo(B18)</f>
        <v>ExcelError: ExcelErrorValue</v>
      </c>
      <c r="I18" s="1"/>
    </row>
    <row r="19" spans="1:9" x14ac:dyDescent="0.25">
      <c r="A19" t="s">
        <v>11</v>
      </c>
      <c r="B19">
        <f t="array" ref="B19:C20">{1,"A";0.1,FALSE}</f>
        <v>1</v>
      </c>
      <c r="C19" t="str">
        <v>A</v>
      </c>
      <c r="D19">
        <f t="array" ref="D19">TYPE(B19:C20)</f>
        <v>64</v>
      </c>
      <c r="E19" t="str" cm="1">
        <f t="array" ref="E19">ExcelTypeName(D19)</f>
        <v>Array</v>
      </c>
      <c r="F19" t="str" cm="1">
        <f t="array" ref="F19">vbaArgumentInfo(B19:C20)</f>
        <v>Range($B$19:$C$20): Array(1:2,1:2)</v>
      </c>
      <c r="G19" t="str" cm="1">
        <f t="array" ref="G19">vbaArgumentInfo({1,"A";0.1,FALSE})</f>
        <v>Array(1:2,1:2)</v>
      </c>
      <c r="H19" t="str" cm="1">
        <f t="array" ref="H19">_xll.dnaArgumentInfo(B19:C20)</f>
        <v>Array(2,2)</v>
      </c>
      <c r="I19" t="str" cm="1">
        <f t="array" ref="I19">_xll.dnaArgumentInfo({1,"A";0.1,FALSE})</f>
        <v>Array(2,2)</v>
      </c>
    </row>
    <row r="20" spans="1:9" x14ac:dyDescent="0.25">
      <c r="B20">
        <v>0.1</v>
      </c>
      <c r="C20" t="b">
        <v>0</v>
      </c>
      <c r="E20" t="str" cm="1">
        <f t="array" ref="E20">ExcelTypeName(D20)</f>
        <v/>
      </c>
    </row>
    <row r="21" spans="1:9" x14ac:dyDescent="0.25">
      <c r="A21" t="s">
        <v>12</v>
      </c>
      <c r="B21" cm="1">
        <f t="array" ref="B21:C22">{99,"B";"",TRUE}</f>
        <v>99</v>
      </c>
      <c r="C21" t="str">
        <v>B</v>
      </c>
      <c r="D21">
        <f>TYPE(_xlfn.ANCHORARRAY(B21))</f>
        <v>64</v>
      </c>
      <c r="E21" t="str" cm="1">
        <f t="array" ref="E21">ExcelTypeName(D21)</f>
        <v>Array</v>
      </c>
      <c r="F21" t="str" cm="1">
        <f t="array" ref="F21">vbaArgumentInfo(_xlfn.ANCHORARRAY(B21))</f>
        <v>Range($B$21:$C$22): Array(1:2,1:2)</v>
      </c>
      <c r="G21" t="str" cm="1">
        <f t="array" ref="G21">vbaArgumentInfo({99,"B";"",TRUE})</f>
        <v>Array(1:2,1:2)</v>
      </c>
      <c r="H21" t="str" cm="1">
        <f t="array" ref="H21">_xll.dnaArgumentInfo(_xlfn.ANCHORARRAY(B21))</f>
        <v>Array(2,2)</v>
      </c>
      <c r="I21" t="str" cm="1">
        <f t="array" ref="I21">_xll.dnaArgumentInfo({99,"B";"",TRUE})</f>
        <v>Array(2,2)</v>
      </c>
    </row>
    <row r="22" spans="1:9" x14ac:dyDescent="0.25">
      <c r="B22" t="str">
        <v/>
      </c>
      <c r="C22" t="b">
        <v>1</v>
      </c>
      <c r="E22" t="str" cm="1">
        <f t="array" ref="E22">ExcelTypeName(D22)</f>
        <v/>
      </c>
    </row>
    <row r="23" spans="1:9" x14ac:dyDescent="0.25">
      <c r="A23" t="s">
        <v>13</v>
      </c>
      <c r="B23" cm="1">
        <f t="array" ref="B23:C23">{1,"A"}</f>
        <v>1</v>
      </c>
      <c r="C23" t="str">
        <v>A</v>
      </c>
      <c r="D23">
        <f>TYPE(_xlfn.ANCHORARRAY(B23))</f>
        <v>64</v>
      </c>
      <c r="E23" t="str" cm="1">
        <f t="array" ref="E23">ExcelTypeName(D23)</f>
        <v>Array</v>
      </c>
      <c r="F23" t="str" cm="1">
        <f t="array" ref="F23">vbaArgumentInfo(_xlfn.ANCHORARRAY(B23))</f>
        <v>Range($B$23:$C$23): Array(1:1,1:2)</v>
      </c>
      <c r="G23" t="str" cm="1">
        <f t="array" ref="G23">vbaArgumentInfo({1,"A"})</f>
        <v>Array(1:2)</v>
      </c>
      <c r="H23" t="str" cm="1">
        <f t="array" ref="H23">_xll.dnaArgumentInfo(_xlfn.ANCHORARRAY(B23))</f>
        <v>Array(1,2)</v>
      </c>
      <c r="I23" t="str" cm="1">
        <f t="array" ref="I23">_xll.dnaArgumentInfo({1,"A"})</f>
        <v>Array(1,2)</v>
      </c>
    </row>
    <row r="24" spans="1:9" x14ac:dyDescent="0.25">
      <c r="A24" t="s">
        <v>14</v>
      </c>
      <c r="B24" cm="1">
        <f t="array" ref="B24:B25">{1;"A"}</f>
        <v>1</v>
      </c>
      <c r="D24">
        <f>TYPE(_xlfn.ANCHORARRAY(B24))</f>
        <v>64</v>
      </c>
      <c r="E24" t="str" cm="1">
        <f t="array" ref="E24">ExcelTypeName(D24)</f>
        <v>Array</v>
      </c>
      <c r="F24" t="str" cm="1">
        <f t="array" ref="F24">vbaArgumentInfo(_xlfn.ANCHORARRAY(B24))</f>
        <v>Range($B$24:$B$25): Array(1:2,1:1)</v>
      </c>
      <c r="G24" t="str" cm="1">
        <f t="array" ref="G24">vbaArgumentInfo({1;"A"})</f>
        <v>Array(1:2,1:1)</v>
      </c>
      <c r="H24" t="str" cm="1">
        <f t="array" ref="H24">_xll.dnaArgumentInfo(_xlfn.ANCHORARRAY(B24))</f>
        <v>Array(2,1)</v>
      </c>
      <c r="I24" t="str" cm="1">
        <f t="array" ref="I24">_xll.dnaArgumentInfo({1;"A"})</f>
        <v>Array(2,1)</v>
      </c>
    </row>
    <row r="25" spans="1:9" x14ac:dyDescent="0.25">
      <c r="B25" t="str">
        <v>A</v>
      </c>
    </row>
    <row r="26" spans="1:9" x14ac:dyDescent="0.25">
      <c r="A26" t="s">
        <v>15</v>
      </c>
      <c r="B26">
        <f>{1,"A"}</f>
        <v>1</v>
      </c>
      <c r="D26">
        <f>TYPE(_xlfn.ANCHORARRAY(B26))</f>
        <v>1</v>
      </c>
      <c r="E26" t="str" cm="1">
        <f t="array" ref="E26">ExcelTypeName(D26)</f>
        <v>Number</v>
      </c>
      <c r="F26" t="str" cm="1">
        <f t="array" ref="F26">vbaArgumentInfo(_xlfn.ANCHORARRAY(B26))</f>
        <v>Range($B$26): vbDouble: 1</v>
      </c>
      <c r="G26" t="str">
        <f>vbaArgumentInfo({1,"A"})</f>
        <v>Array(1:2)</v>
      </c>
      <c r="H26" t="str" cm="1">
        <f t="array" ref="H26">_xll.dnaArgumentInfo(_xlfn.ANCHORARRAY(B26))</f>
        <v>Double: 1</v>
      </c>
      <c r="I26" t="str">
        <f>_xll.dnaArgumentInfo({1,"A"})</f>
        <v>Array(1,2)</v>
      </c>
    </row>
    <row r="28" spans="1:9" x14ac:dyDescent="0.25">
      <c r="A28" t="s">
        <v>19</v>
      </c>
      <c r="B28" t="e" vm="2">
        <v>#VALUE!</v>
      </c>
      <c r="D28">
        <f>TYPE(B28)</f>
        <v>128</v>
      </c>
      <c r="E28" t="str" cm="1">
        <f t="array" ref="E28">ExcelTypeName(D28)</f>
        <v>Linked Data (?)</v>
      </c>
      <c r="F28" t="str" cm="1">
        <f t="array" ref="F28">vbaArgumentInfo(B28)</f>
        <v>Range($B$28): vbError: Error 2015</v>
      </c>
      <c r="H28" t="str" cm="1">
        <f t="array" ref="H28">_xll.dnaArgumentInfo(B28)</f>
        <v>ExcelError: ExcelErrorValue</v>
      </c>
    </row>
    <row r="29" spans="1:9" x14ac:dyDescent="0.25">
      <c r="B29" s="6" cm="1">
        <f t="array" ref="B29">_FV(B28,"Year incorporated",TRUE)</f>
        <v>1993</v>
      </c>
      <c r="D29">
        <f>TYPE(B29)</f>
        <v>1</v>
      </c>
      <c r="E29" t="str" cm="1">
        <f t="array" ref="E29">ExcelTypeName(D29)</f>
        <v>Number</v>
      </c>
      <c r="F29" t="str" cm="1">
        <f t="array" ref="F29">vbaArgumentInfo(B29)</f>
        <v>Range($B$29): vbDouble: 1993</v>
      </c>
      <c r="H29" t="str" cm="1">
        <f t="array" ref="H29">_xll.dnaArgumentInfo(B29)</f>
        <v>Double: 1993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9A0A-9866-4D4A-B8BD-281D86722D92}">
  <sheetPr codeName="Sheet2"/>
  <dimension ref="A2:P7"/>
  <sheetViews>
    <sheetView tabSelected="1" workbookViewId="0">
      <selection activeCell="G7" sqref="G7"/>
    </sheetView>
  </sheetViews>
  <sheetFormatPr defaultRowHeight="15" x14ac:dyDescent="0.25"/>
  <cols>
    <col min="1" max="1" width="16.140625" customWidth="1"/>
    <col min="2" max="2" width="5.28515625" customWidth="1"/>
    <col min="3" max="3" width="19.5703125" bestFit="1" customWidth="1"/>
    <col min="4" max="4" width="14.28515625" bestFit="1" customWidth="1"/>
    <col min="7" max="7" width="3.85546875" customWidth="1"/>
    <col min="9" max="9" width="3.140625" customWidth="1"/>
    <col min="14" max="14" width="3.85546875" customWidth="1"/>
  </cols>
  <sheetData>
    <row r="2" spans="1:16" x14ac:dyDescent="0.25">
      <c r="A2" s="5" t="s">
        <v>27</v>
      </c>
      <c r="B2" s="5"/>
      <c r="C2" s="5" t="s">
        <v>26</v>
      </c>
      <c r="F2" s="5" t="s">
        <v>28</v>
      </c>
      <c r="J2" s="5" t="s">
        <v>26</v>
      </c>
      <c r="L2" s="5" t="s">
        <v>25</v>
      </c>
      <c r="O2" s="5" t="s">
        <v>26</v>
      </c>
    </row>
    <row r="3" spans="1:16" x14ac:dyDescent="0.25">
      <c r="A3" s="16">
        <v>1</v>
      </c>
      <c r="B3" s="14"/>
      <c r="C3" cm="1">
        <f t="array" ref="C3">vbaSumEvenNumbersR(A3:A7)</f>
        <v>6</v>
      </c>
      <c r="F3" s="7">
        <v>1</v>
      </c>
      <c r="G3" s="13"/>
      <c r="H3" s="8">
        <v>6</v>
      </c>
      <c r="J3" cm="1">
        <f t="array" ref="J3">vbaSumEvenNumbersR((F3:F7,H3:H7))</f>
        <v>30</v>
      </c>
      <c r="L3" s="7">
        <v>1</v>
      </c>
      <c r="M3" s="8">
        <v>6</v>
      </c>
      <c r="O3" cm="1">
        <f t="array" ref="O3">_xll.dnaSumEvenNumbers2D(L3:M7)</f>
        <v>30</v>
      </c>
    </row>
    <row r="4" spans="1:16" x14ac:dyDescent="0.25">
      <c r="A4" s="17">
        <v>2</v>
      </c>
      <c r="B4" s="14"/>
      <c r="C4" t="e" cm="1">
        <f t="array" ref="C4">vbaSumEvenNumbersR({1,2,3,4,5})</f>
        <v>#VALUE!</v>
      </c>
      <c r="F4" s="9">
        <v>2</v>
      </c>
      <c r="G4" s="14"/>
      <c r="H4" s="10">
        <v>7</v>
      </c>
      <c r="J4" cm="1">
        <f t="array" ref="J4">vbaSumEvenNumbersV((F3:F7,H3:H7))</f>
        <v>30</v>
      </c>
      <c r="L4" s="9">
        <v>2</v>
      </c>
      <c r="M4" s="10">
        <v>7</v>
      </c>
      <c r="O4" cm="1">
        <f t="array" ref="O4">_xll.dnaSumEvenNumbers1D(L3:M7)</f>
        <v>6</v>
      </c>
      <c r="P4" t="s">
        <v>29</v>
      </c>
    </row>
    <row r="5" spans="1:16" x14ac:dyDescent="0.25">
      <c r="A5" s="17">
        <v>3</v>
      </c>
      <c r="B5" s="14"/>
      <c r="C5" cm="1">
        <f t="array" ref="C5">vbaSumEvenNumbersV(A3:A7)</f>
        <v>6</v>
      </c>
      <c r="F5" s="9">
        <v>3</v>
      </c>
      <c r="G5" s="14"/>
      <c r="H5" s="10">
        <v>8</v>
      </c>
      <c r="J5" cm="1">
        <f t="array" ref="J5">_xll.dnaSumEvenNumbers2D((F3:F7,H3:H7))</f>
        <v>0</v>
      </c>
      <c r="L5" s="9">
        <v>3</v>
      </c>
      <c r="M5" s="10">
        <v>8</v>
      </c>
    </row>
    <row r="6" spans="1:16" x14ac:dyDescent="0.25">
      <c r="A6" s="17">
        <v>4</v>
      </c>
      <c r="B6" s="14"/>
      <c r="C6" cm="1">
        <f t="array" ref="C6">vbaSumEvenNumbersV({1,2,3,4,5})</f>
        <v>6</v>
      </c>
      <c r="F6" s="9">
        <v>4</v>
      </c>
      <c r="G6" s="14"/>
      <c r="H6" s="10">
        <v>9</v>
      </c>
      <c r="J6" cm="1">
        <f t="array" ref="J6">_xll.dnaSumEvenNumbersR((F3:F7,H3:H7))</f>
        <v>30</v>
      </c>
      <c r="L6" s="9">
        <v>4</v>
      </c>
      <c r="M6" s="10">
        <v>9</v>
      </c>
    </row>
    <row r="7" spans="1:16" x14ac:dyDescent="0.25">
      <c r="A7" s="18">
        <v>5</v>
      </c>
      <c r="B7" s="14"/>
      <c r="C7" cm="1">
        <f t="array" ref="C7">vbaSumEvenNumbersV(_xlfn.SEQUENCE(100))</f>
        <v>2550</v>
      </c>
      <c r="F7" s="11">
        <v>5</v>
      </c>
      <c r="G7" s="15"/>
      <c r="H7" s="12">
        <v>10</v>
      </c>
      <c r="L7" s="11">
        <v>5</v>
      </c>
      <c r="M7" s="12">
        <v>10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ArgumentTypes</vt:lpstr>
      <vt:lpstr>RangeArguments</vt:lpstr>
      <vt:lpstr>TheBestCell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Govert</dc:creator>
  <cp:lastModifiedBy>Govert</cp:lastModifiedBy>
  <dcterms:created xsi:type="dcterms:W3CDTF">2020-11-06T08:34:19Z</dcterms:created>
  <dcterms:modified xsi:type="dcterms:W3CDTF">2020-11-07T16:18:26Z</dcterms:modified>
</cp:coreProperties>
</file>